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https://d.docs.live.net/597939bffe1597e6/Desktop/"/>
    </mc:Choice>
  </mc:AlternateContent>
  <xr:revisionPtr revIDLastSave="0" documentId="8_{00ACD833-F742-4CCF-8AF9-86EF93BE9AD5}" xr6:coauthVersionLast="47" xr6:coauthVersionMax="47" xr10:uidLastSave="{00000000-0000-0000-0000-000000000000}"/>
  <bookViews>
    <workbookView xWindow="-120" yWindow="-120" windowWidth="20730" windowHeight="11160" xr2:uid="{00000000-000D-0000-FFFF-FFFF00000000}"/>
  </bookViews>
  <sheets>
    <sheet name="Sheet1" sheetId="2" r:id="rId1"/>
    <sheet name="Sheet5" sheetId="6" r:id="rId2"/>
    <sheet name="Sheet3" sheetId="4" r:id="rId3"/>
    <sheet name="Orders" sheetId="1" r:id="rId4"/>
  </sheets>
  <definedNames>
    <definedName name="Slicer_Restaurant">#N/A</definedName>
  </definedNames>
  <calcPr calcId="191029"/>
  <pivotCaches>
    <pivotCache cacheId="2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2" l="1"/>
  <c r="E10" i="2"/>
  <c r="E9" i="2"/>
  <c r="E8" i="2"/>
  <c r="E7" i="2"/>
  <c r="E6" i="2"/>
  <c r="E5" i="2"/>
</calcChain>
</file>

<file path=xl/sharedStrings.xml><?xml version="1.0" encoding="utf-8"?>
<sst xmlns="http://schemas.openxmlformats.org/spreadsheetml/2006/main" count="83" uniqueCount="37">
  <si>
    <t>Order ID</t>
  </si>
  <si>
    <t>Order Date</t>
  </si>
  <si>
    <t>Restaurant</t>
  </si>
  <si>
    <t>Amount</t>
  </si>
  <si>
    <t>ZOM101</t>
  </si>
  <si>
    <t>ZOM102</t>
  </si>
  <si>
    <t>ZOM103</t>
  </si>
  <si>
    <t>ZOM104</t>
  </si>
  <si>
    <t>ZOM105</t>
  </si>
  <si>
    <t>ZOM106</t>
  </si>
  <si>
    <t>ZOM107</t>
  </si>
  <si>
    <t>ZOM108</t>
  </si>
  <si>
    <t>ZOM109</t>
  </si>
  <si>
    <t>ZOM110</t>
  </si>
  <si>
    <t>ZOM111</t>
  </si>
  <si>
    <t>ZOM112</t>
  </si>
  <si>
    <t>ZOM113</t>
  </si>
  <si>
    <t>ZOM114</t>
  </si>
  <si>
    <t>ZOM115</t>
  </si>
  <si>
    <t>ZOM116</t>
  </si>
  <si>
    <t>ZOM117</t>
  </si>
  <si>
    <t>ZOM118</t>
  </si>
  <si>
    <t>ZOM119</t>
  </si>
  <si>
    <t>ZOM120</t>
  </si>
  <si>
    <t>Pizza Hub</t>
  </si>
  <si>
    <t>Burger Point</t>
  </si>
  <si>
    <t>Food Corner</t>
  </si>
  <si>
    <t>Row Labels</t>
  </si>
  <si>
    <t>Grand Total</t>
  </si>
  <si>
    <t>Sum of Amount</t>
  </si>
  <si>
    <t>2025</t>
  </si>
  <si>
    <t>Qtr1</t>
  </si>
  <si>
    <t>Qtr2</t>
  </si>
  <si>
    <t>Qtr3</t>
  </si>
  <si>
    <t>Count of Order ID</t>
  </si>
  <si>
    <t>average order value</t>
  </si>
  <si>
    <t>Created a monthly sales Pivot Table and calculated the Average Order Value by dividing total sales by the number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</si>
</sst>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indent="1"/>
    </xf>
    <xf numFmtId="0" fontId="0" fillId="0" borderId="0" xfId="0" applyNumberFormat="1"/>
    <xf numFmtId="14" fontId="0" fillId="0" borderId="0" xfId="0" applyNumberFormat="1"/>
  </cellXfs>
  <cellStyles count="1">
    <cellStyle name="Normal" xfId="0" builtinId="0"/>
  </cellStyles>
  <dxfs count="1">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14.xlsx]Sheet3!PivotTable4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c:f>
              <c:strCache>
                <c:ptCount val="1"/>
                <c:pt idx="0">
                  <c:v>Total</c:v>
                </c:pt>
              </c:strCache>
            </c:strRef>
          </c:tx>
          <c:spPr>
            <a:ln w="28575" cap="rnd">
              <a:solidFill>
                <a:schemeClr val="accent1"/>
              </a:solidFill>
              <a:round/>
            </a:ln>
            <a:effectLst/>
          </c:spPr>
          <c:marker>
            <c:symbol val="none"/>
          </c:marker>
          <c:cat>
            <c:multiLvlStrRef>
              <c:f>Sheet3!$A$2:$A$6</c:f>
              <c:multiLvlStrCache>
                <c:ptCount val="3"/>
                <c:lvl>
                  <c:pt idx="0">
                    <c:v>Qtr1</c:v>
                  </c:pt>
                  <c:pt idx="1">
                    <c:v>Qtr2</c:v>
                  </c:pt>
                  <c:pt idx="2">
                    <c:v>Qtr3</c:v>
                  </c:pt>
                </c:lvl>
                <c:lvl>
                  <c:pt idx="0">
                    <c:v>2025</c:v>
                  </c:pt>
                </c:lvl>
              </c:multiLvlStrCache>
            </c:multiLvlStrRef>
          </c:cat>
          <c:val>
            <c:numRef>
              <c:f>Sheet3!$B$2:$B$6</c:f>
              <c:numCache>
                <c:formatCode>General</c:formatCode>
                <c:ptCount val="3"/>
                <c:pt idx="0">
                  <c:v>4170</c:v>
                </c:pt>
                <c:pt idx="1">
                  <c:v>4890</c:v>
                </c:pt>
                <c:pt idx="2">
                  <c:v>920</c:v>
                </c:pt>
              </c:numCache>
            </c:numRef>
          </c:val>
          <c:smooth val="0"/>
          <c:extLst>
            <c:ext xmlns:c16="http://schemas.microsoft.com/office/drawing/2014/chart" uri="{C3380CC4-5D6E-409C-BE32-E72D297353CC}">
              <c16:uniqueId val="{00000000-D5DF-477E-8A29-22FAD29FB04B}"/>
            </c:ext>
          </c:extLst>
        </c:ser>
        <c:dLbls>
          <c:showLegendKey val="0"/>
          <c:showVal val="0"/>
          <c:showCatName val="0"/>
          <c:showSerName val="0"/>
          <c:showPercent val="0"/>
          <c:showBubbleSize val="0"/>
        </c:dLbls>
        <c:smooth val="0"/>
        <c:axId val="431671487"/>
        <c:axId val="431671903"/>
      </c:lineChart>
      <c:catAx>
        <c:axId val="43167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71903"/>
        <c:crosses val="autoZero"/>
        <c:auto val="1"/>
        <c:lblAlgn val="ctr"/>
        <c:lblOffset val="100"/>
        <c:noMultiLvlLbl val="0"/>
      </c:catAx>
      <c:valAx>
        <c:axId val="431671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7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952500</xdr:colOff>
      <xdr:row>1</xdr:row>
      <xdr:rowOff>95250</xdr:rowOff>
    </xdr:from>
    <xdr:to>
      <xdr:col>8</xdr:col>
      <xdr:colOff>571500</xdr:colOff>
      <xdr:row>14</xdr:row>
      <xdr:rowOff>142875</xdr:rowOff>
    </xdr:to>
    <mc:AlternateContent xmlns:mc="http://schemas.openxmlformats.org/markup-compatibility/2006">
      <mc:Choice xmlns:a14="http://schemas.microsoft.com/office/drawing/2010/main" Requires="a14">
        <xdr:graphicFrame macro="">
          <xdr:nvGraphicFramePr>
            <xdr:cNvPr id="2" name="Restaurant">
              <a:extLst>
                <a:ext uri="{FF2B5EF4-FFF2-40B4-BE49-F238E27FC236}">
                  <a16:creationId xmlns:a16="http://schemas.microsoft.com/office/drawing/2014/main" id="{B6C00B4B-4BDB-4B38-BDBA-4533AC54BA7E}"/>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dr:sp macro="" textlink="">
          <xdr:nvSpPr>
            <xdr:cNvPr id="0" name=""/>
            <xdr:cNvSpPr>
              <a:spLocks noTextEdit="1"/>
            </xdr:cNvSpPr>
          </xdr:nvSpPr>
          <xdr:spPr>
            <a:xfrm>
              <a:off x="5791200" y="285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0</xdr:row>
      <xdr:rowOff>28575</xdr:rowOff>
    </xdr:from>
    <xdr:to>
      <xdr:col>9</xdr:col>
      <xdr:colOff>571500</xdr:colOff>
      <xdr:row>14</xdr:row>
      <xdr:rowOff>104775</xdr:rowOff>
    </xdr:to>
    <xdr:graphicFrame macro="">
      <xdr:nvGraphicFramePr>
        <xdr:cNvPr id="2" name="Chart 1">
          <a:extLst>
            <a:ext uri="{FF2B5EF4-FFF2-40B4-BE49-F238E27FC236}">
              <a16:creationId xmlns:a16="http://schemas.microsoft.com/office/drawing/2014/main" id="{FFD0BEEC-D699-4776-BB34-C7D11A52D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PUR" refreshedDate="46297.038466782411" createdVersion="7" refreshedVersion="7" minRefreshableVersion="3" recordCount="20" xr:uid="{F393CBE5-EE1A-4A20-9CAE-1BC94F36564D}">
  <cacheSource type="worksheet">
    <worksheetSource ref="A1:D21" sheet="Orders"/>
  </cacheSource>
  <cacheFields count="5">
    <cacheField name="Order ID" numFmtId="0">
      <sharedItems/>
    </cacheField>
    <cacheField name="Order Date" numFmtId="164">
      <sharedItems containsSemiMixedTypes="0" containsNonDate="0" containsDate="1" containsString="0" minDate="2025-01-05T00:00:00" maxDate="2025-07-22T00:00:00" count="20">
        <d v="2025-01-05T00:00:00"/>
        <d v="2025-01-12T00:00:00"/>
        <d v="2025-01-25T00:00:00"/>
        <d v="2025-02-03T00:00:00"/>
        <d v="2025-02-14T00:00:00"/>
        <d v="2025-02-22T00:00:00"/>
        <d v="2025-03-08T00:00:00"/>
        <d v="2025-03-19T00:00:00"/>
        <d v="2025-03-27T00:00:00"/>
        <d v="2025-04-05T00:00:00"/>
        <d v="2025-04-16T00:00:00"/>
        <d v="2025-04-28T00:00:00"/>
        <d v="2025-05-09T00:00:00"/>
        <d v="2025-05-17T00:00:00"/>
        <d v="2025-05-26T00:00:00"/>
        <d v="2025-06-04T00:00:00"/>
        <d v="2025-06-15T00:00:00"/>
        <d v="2025-06-24T00:00:00"/>
        <d v="2025-07-07T00:00:00"/>
        <d v="2025-07-21T00:00:00"/>
      </sharedItems>
      <fieldGroup par="4" base="1">
        <rangePr groupBy="quarters" startDate="2025-01-05T00:00:00" endDate="2025-07-22T00:00:00"/>
        <groupItems count="6">
          <s v="&lt;05-01-2025"/>
          <s v="Qtr1"/>
          <s v="Qtr2"/>
          <s v="Qtr3"/>
          <s v="Qtr4"/>
          <s v="&gt;22-07-2025"/>
        </groupItems>
      </fieldGroup>
    </cacheField>
    <cacheField name="Restaurant" numFmtId="0">
      <sharedItems count="3">
        <s v="Pizza Hub"/>
        <s v="Burger Point"/>
        <s v="Food Corner"/>
      </sharedItems>
    </cacheField>
    <cacheField name="Amount" numFmtId="0">
      <sharedItems containsSemiMixedTypes="0" containsString="0" containsNumber="1" containsInteger="1" minValue="280" maxValue="800"/>
    </cacheField>
    <cacheField name="Years" numFmtId="0" databaseField="0">
      <fieldGroup base="1">
        <rangePr groupBy="years" startDate="2025-01-05T00:00:00" endDate="2025-07-22T00:00:00"/>
        <groupItems count="3">
          <s v="&lt;05-01-2025"/>
          <s v="2025"/>
          <s v="&gt;22-07-2025"/>
        </groupItems>
      </fieldGroup>
    </cacheField>
  </cacheFields>
  <extLst>
    <ext xmlns:x14="http://schemas.microsoft.com/office/spreadsheetml/2009/9/main" uri="{725AE2AE-9491-48be-B2B4-4EB974FC3084}">
      <x14:pivotCacheDefinition pivotCacheId="18003056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ZOM101"/>
    <x v="0"/>
    <x v="0"/>
    <n v="450"/>
  </r>
  <r>
    <s v="ZOM102"/>
    <x v="1"/>
    <x v="1"/>
    <n v="320"/>
  </r>
  <r>
    <s v="ZOM103"/>
    <x v="2"/>
    <x v="2"/>
    <n v="600"/>
  </r>
  <r>
    <s v="ZOM104"/>
    <x v="3"/>
    <x v="0"/>
    <n v="550"/>
  </r>
  <r>
    <s v="ZOM105"/>
    <x v="4"/>
    <x v="1"/>
    <n v="280"/>
  </r>
  <r>
    <s v="ZOM106"/>
    <x v="5"/>
    <x v="2"/>
    <n v="720"/>
  </r>
  <r>
    <s v="ZOM107"/>
    <x v="6"/>
    <x v="0"/>
    <n v="400"/>
  </r>
  <r>
    <s v="ZOM108"/>
    <x v="7"/>
    <x v="1"/>
    <n v="350"/>
  </r>
  <r>
    <s v="ZOM109"/>
    <x v="8"/>
    <x v="2"/>
    <n v="500"/>
  </r>
  <r>
    <s v="ZOM110"/>
    <x v="9"/>
    <x v="0"/>
    <n v="650"/>
  </r>
  <r>
    <s v="ZOM111"/>
    <x v="10"/>
    <x v="1"/>
    <n v="300"/>
  </r>
  <r>
    <s v="ZOM112"/>
    <x v="11"/>
    <x v="2"/>
    <n v="800"/>
  </r>
  <r>
    <s v="ZOM113"/>
    <x v="12"/>
    <x v="0"/>
    <n v="480"/>
  </r>
  <r>
    <s v="ZOM114"/>
    <x v="13"/>
    <x v="1"/>
    <n v="370"/>
  </r>
  <r>
    <s v="ZOM115"/>
    <x v="14"/>
    <x v="2"/>
    <n v="550"/>
  </r>
  <r>
    <s v="ZOM116"/>
    <x v="15"/>
    <x v="0"/>
    <n v="700"/>
  </r>
  <r>
    <s v="ZOM117"/>
    <x v="16"/>
    <x v="1"/>
    <n v="420"/>
  </r>
  <r>
    <s v="ZOM118"/>
    <x v="17"/>
    <x v="2"/>
    <n v="620"/>
  </r>
  <r>
    <s v="ZOM119"/>
    <x v="18"/>
    <x v="0"/>
    <n v="530"/>
  </r>
  <r>
    <s v="ZOM120"/>
    <x v="19"/>
    <x v="1"/>
    <n v="3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913E61-6301-4AEE-80D3-3A99D4891CB4}" name="PivotTable1"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8" firstHeaderRow="0" firstDataRow="1" firstDataCol="1"/>
  <pivotFields count="5">
    <pivotField dataField="1" showAll="0"/>
    <pivotField axis="axisRow" numFmtId="164" showAll="0">
      <items count="7">
        <item x="0"/>
        <item x="1"/>
        <item x="2"/>
        <item x="3"/>
        <item x="4"/>
        <item x="5"/>
        <item t="default"/>
      </items>
    </pivotField>
    <pivotField showAll="0">
      <items count="4">
        <item h="1" x="1"/>
        <item h="1" x="2"/>
        <item x="0"/>
        <item t="default"/>
      </items>
    </pivotField>
    <pivotField dataField="1" showAll="0"/>
    <pivotField axis="axisRow" showAll="0">
      <items count="4">
        <item x="0"/>
        <item x="1"/>
        <item x="2"/>
        <item t="default"/>
      </items>
    </pivotField>
  </pivotFields>
  <rowFields count="2">
    <field x="4"/>
    <field x="1"/>
  </rowFields>
  <rowItems count="5">
    <i>
      <x v="1"/>
    </i>
    <i r="1">
      <x v="1"/>
    </i>
    <i r="1">
      <x v="2"/>
    </i>
    <i r="1">
      <x v="3"/>
    </i>
    <i t="grand">
      <x/>
    </i>
  </rowItems>
  <colFields count="1">
    <field x="-2"/>
  </colFields>
  <colItems count="2">
    <i>
      <x/>
    </i>
    <i i="1">
      <x v="1"/>
    </i>
  </colItems>
  <dataFields count="2">
    <dataField name="Sum of Amount" fld="3"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6B4CD7-2908-4120-934C-81B38CCC710D}" name="PivotTable4"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B6" firstHeaderRow="1" firstDataRow="1" firstDataCol="1"/>
  <pivotFields count="5">
    <pivotField showAll="0"/>
    <pivotField axis="axisRow" numFmtId="164" showAll="0">
      <items count="7">
        <item x="0"/>
        <item x="1"/>
        <item x="2"/>
        <item x="3"/>
        <item x="4"/>
        <item x="5"/>
        <item t="default"/>
      </items>
    </pivotField>
    <pivotField showAll="0"/>
    <pivotField dataField="1" showAll="0"/>
    <pivotField axis="axisRow" showAll="0">
      <items count="4">
        <item x="0"/>
        <item x="1"/>
        <item x="2"/>
        <item t="default"/>
      </items>
    </pivotField>
  </pivotFields>
  <rowFields count="2">
    <field x="4"/>
    <field x="1"/>
  </rowFields>
  <rowItems count="5">
    <i>
      <x v="1"/>
    </i>
    <i r="1">
      <x v="1"/>
    </i>
    <i r="1">
      <x v="2"/>
    </i>
    <i r="1">
      <x v="3"/>
    </i>
    <i t="grand">
      <x/>
    </i>
  </rowItems>
  <colItems count="1">
    <i/>
  </colItems>
  <dataFields count="1">
    <dataField name="Sum of Amount"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90A5BEBB-5329-4EB1-9DCE-969B860D2F2A}" sourceName="Restaurant">
  <pivotTables>
    <pivotTable tabId="2" name="PivotTable1"/>
  </pivotTables>
  <data>
    <tabular pivotCacheId="1800305673">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2B3D395A-2E68-4DF8-98A9-964640CAB666}" cache="Slicer_Restaurant" caption="Restaura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4BA08B-8B01-4019-AD9D-8D0FFFA03EE4}" name="Table2" displayName="Table2" ref="A1:D10" totalsRowShown="0">
  <autoFilter ref="A1:D10" xr:uid="{604BA08B-8B01-4019-AD9D-8D0FFFA03EE4}"/>
  <tableColumns count="4">
    <tableColumn id="1" xr3:uid="{10AF1FAB-6215-41B4-BC9A-1065F61CC4E4}" name="Order ID"/>
    <tableColumn id="2" xr3:uid="{5193BFB6-69B4-46F3-8BEE-E75715D025A2}" name="Order Date" dataDxfId="0"/>
    <tableColumn id="3" xr3:uid="{8B9AD688-C519-4BAE-AF01-A617E4CA99C7}" name="Restaurant"/>
    <tableColumn id="4" xr3:uid="{93941EAC-2292-43C0-9024-848C27F2960E}" name="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3833A-A393-4FCD-AAB7-8EDAD07ADAE9}">
  <dimension ref="A3:E16"/>
  <sheetViews>
    <sheetView tabSelected="1" topLeftCell="A2" workbookViewId="0">
      <selection activeCell="A5" sqref="A5"/>
    </sheetView>
  </sheetViews>
  <sheetFormatPr defaultRowHeight="15" x14ac:dyDescent="0.25"/>
  <cols>
    <col min="1" max="1" width="13.140625" bestFit="1" customWidth="1"/>
    <col min="2" max="2" width="14.85546875" bestFit="1" customWidth="1"/>
    <col min="3" max="3" width="16.5703125" bestFit="1" customWidth="1"/>
    <col min="5" max="5" width="18.85546875" bestFit="1" customWidth="1"/>
    <col min="6" max="6" width="14.85546875" bestFit="1" customWidth="1"/>
  </cols>
  <sheetData>
    <row r="3" spans="1:5" x14ac:dyDescent="0.25">
      <c r="A3" s="3" t="s">
        <v>27</v>
      </c>
      <c r="B3" t="s">
        <v>29</v>
      </c>
      <c r="C3" t="s">
        <v>34</v>
      </c>
      <c r="E3" t="s">
        <v>35</v>
      </c>
    </row>
    <row r="4" spans="1:5" x14ac:dyDescent="0.25">
      <c r="A4" s="4" t="s">
        <v>30</v>
      </c>
      <c r="B4" s="6">
        <v>3760</v>
      </c>
      <c r="C4" s="6">
        <v>7</v>
      </c>
    </row>
    <row r="5" spans="1:5" x14ac:dyDescent="0.25">
      <c r="A5" s="5" t="s">
        <v>31</v>
      </c>
      <c r="B5" s="6">
        <v>1400</v>
      </c>
      <c r="C5" s="6">
        <v>3</v>
      </c>
      <c r="E5">
        <f>1370/3</f>
        <v>456.66666666666669</v>
      </c>
    </row>
    <row r="6" spans="1:5" x14ac:dyDescent="0.25">
      <c r="A6" s="5" t="s">
        <v>32</v>
      </c>
      <c r="B6" s="6">
        <v>1830</v>
      </c>
      <c r="C6" s="6">
        <v>3</v>
      </c>
      <c r="E6">
        <f>1550/3</f>
        <v>516.66666666666663</v>
      </c>
    </row>
    <row r="7" spans="1:5" x14ac:dyDescent="0.25">
      <c r="A7" s="5" t="s">
        <v>33</v>
      </c>
      <c r="B7" s="6">
        <v>530</v>
      </c>
      <c r="C7" s="6">
        <v>1</v>
      </c>
      <c r="E7">
        <f>1250/3</f>
        <v>416.66666666666669</v>
      </c>
    </row>
    <row r="8" spans="1:5" x14ac:dyDescent="0.25">
      <c r="A8" s="4" t="s">
        <v>28</v>
      </c>
      <c r="B8" s="6">
        <v>3760</v>
      </c>
      <c r="C8" s="6">
        <v>7</v>
      </c>
      <c r="E8">
        <f>1750/3</f>
        <v>583.33333333333337</v>
      </c>
    </row>
    <row r="9" spans="1:5" x14ac:dyDescent="0.25">
      <c r="E9">
        <f>1400/3</f>
        <v>466.66666666666669</v>
      </c>
    </row>
    <row r="10" spans="1:5" x14ac:dyDescent="0.25">
      <c r="E10">
        <f>1740/3</f>
        <v>580</v>
      </c>
    </row>
    <row r="11" spans="1:5" x14ac:dyDescent="0.25">
      <c r="E11">
        <f>920/3</f>
        <v>306.66666666666669</v>
      </c>
    </row>
    <row r="16" spans="1:5" x14ac:dyDescent="0.25">
      <c r="A16" t="s">
        <v>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5CB88-304A-4246-846C-2FCBFF8A8AE0}">
  <dimension ref="A1:D10"/>
  <sheetViews>
    <sheetView workbookViewId="0">
      <selection activeCell="F4" sqref="F4"/>
    </sheetView>
  </sheetViews>
  <sheetFormatPr defaultRowHeight="15" x14ac:dyDescent="0.25"/>
  <cols>
    <col min="1" max="1" width="10.5703125" customWidth="1"/>
    <col min="2" max="2" width="12.85546875" customWidth="1"/>
    <col min="3" max="3" width="12.7109375" customWidth="1"/>
    <col min="4" max="4" width="10.28515625" customWidth="1"/>
  </cols>
  <sheetData>
    <row r="1" spans="1:4" x14ac:dyDescent="0.25">
      <c r="A1" t="s">
        <v>0</v>
      </c>
      <c r="B1" t="s">
        <v>1</v>
      </c>
      <c r="C1" t="s">
        <v>2</v>
      </c>
      <c r="D1" t="s">
        <v>3</v>
      </c>
    </row>
    <row r="2" spans="1:4" x14ac:dyDescent="0.25">
      <c r="A2" t="s">
        <v>4</v>
      </c>
      <c r="B2" s="7">
        <v>45662</v>
      </c>
      <c r="C2" t="s">
        <v>24</v>
      </c>
      <c r="D2">
        <v>450</v>
      </c>
    </row>
    <row r="3" spans="1:4" x14ac:dyDescent="0.25">
      <c r="A3" t="s">
        <v>5</v>
      </c>
      <c r="B3" s="7">
        <v>45669</v>
      </c>
      <c r="C3" t="s">
        <v>25</v>
      </c>
      <c r="D3">
        <v>320</v>
      </c>
    </row>
    <row r="4" spans="1:4" x14ac:dyDescent="0.25">
      <c r="A4" t="s">
        <v>6</v>
      </c>
      <c r="B4" s="7">
        <v>45682</v>
      </c>
      <c r="C4" t="s">
        <v>26</v>
      </c>
      <c r="D4">
        <v>600</v>
      </c>
    </row>
    <row r="5" spans="1:4" x14ac:dyDescent="0.25">
      <c r="A5" t="s">
        <v>7</v>
      </c>
      <c r="B5" s="7">
        <v>45691</v>
      </c>
      <c r="C5" t="s">
        <v>24</v>
      </c>
      <c r="D5">
        <v>550</v>
      </c>
    </row>
    <row r="6" spans="1:4" x14ac:dyDescent="0.25">
      <c r="A6" t="s">
        <v>8</v>
      </c>
      <c r="B6" s="7">
        <v>45702</v>
      </c>
      <c r="C6" t="s">
        <v>25</v>
      </c>
      <c r="D6">
        <v>280</v>
      </c>
    </row>
    <row r="7" spans="1:4" x14ac:dyDescent="0.25">
      <c r="A7" t="s">
        <v>9</v>
      </c>
      <c r="B7" s="7">
        <v>45710</v>
      </c>
      <c r="C7" t="s">
        <v>26</v>
      </c>
      <c r="D7">
        <v>720</v>
      </c>
    </row>
    <row r="8" spans="1:4" x14ac:dyDescent="0.25">
      <c r="A8" t="s">
        <v>10</v>
      </c>
      <c r="B8" s="7">
        <v>45724</v>
      </c>
      <c r="C8" t="s">
        <v>24</v>
      </c>
      <c r="D8">
        <v>400</v>
      </c>
    </row>
    <row r="9" spans="1:4" x14ac:dyDescent="0.25">
      <c r="A9" t="s">
        <v>11</v>
      </c>
      <c r="B9" s="7">
        <v>45735</v>
      </c>
      <c r="C9" t="s">
        <v>25</v>
      </c>
      <c r="D9">
        <v>350</v>
      </c>
    </row>
    <row r="10" spans="1:4" x14ac:dyDescent="0.25">
      <c r="A10" t="s">
        <v>12</v>
      </c>
      <c r="B10" s="7">
        <v>45743</v>
      </c>
      <c r="C10" t="s">
        <v>26</v>
      </c>
      <c r="D10">
        <v>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D0EAC-7FE5-4997-B672-6581AD0BCC91}">
  <dimension ref="A1:B6"/>
  <sheetViews>
    <sheetView workbookViewId="0">
      <selection activeCell="A3" sqref="A3"/>
    </sheetView>
  </sheetViews>
  <sheetFormatPr defaultRowHeight="15" x14ac:dyDescent="0.25"/>
  <cols>
    <col min="1" max="1" width="13.140625" bestFit="1" customWidth="1"/>
    <col min="2" max="3" width="14.85546875" bestFit="1" customWidth="1"/>
    <col min="4" max="4" width="14.7109375" bestFit="1" customWidth="1"/>
  </cols>
  <sheetData>
    <row r="1" spans="1:2" x14ac:dyDescent="0.25">
      <c r="A1" s="3" t="s">
        <v>27</v>
      </c>
      <c r="B1" t="s">
        <v>29</v>
      </c>
    </row>
    <row r="2" spans="1:2" x14ac:dyDescent="0.25">
      <c r="A2" s="4" t="s">
        <v>30</v>
      </c>
      <c r="B2" s="6">
        <v>9980</v>
      </c>
    </row>
    <row r="3" spans="1:2" x14ac:dyDescent="0.25">
      <c r="A3" s="5" t="s">
        <v>31</v>
      </c>
      <c r="B3" s="6">
        <v>4170</v>
      </c>
    </row>
    <row r="4" spans="1:2" x14ac:dyDescent="0.25">
      <c r="A4" s="5" t="s">
        <v>32</v>
      </c>
      <c r="B4" s="6">
        <v>4890</v>
      </c>
    </row>
    <row r="5" spans="1:2" x14ac:dyDescent="0.25">
      <c r="A5" s="5" t="s">
        <v>33</v>
      </c>
      <c r="B5" s="6">
        <v>920</v>
      </c>
    </row>
    <row r="6" spans="1:2" x14ac:dyDescent="0.25">
      <c r="A6" s="4" t="s">
        <v>28</v>
      </c>
      <c r="B6" s="6">
        <v>9980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workbookViewId="0">
      <selection activeCell="C6" sqref="C6"/>
    </sheetView>
  </sheetViews>
  <sheetFormatPr defaultRowHeight="15" x14ac:dyDescent="0.25"/>
  <cols>
    <col min="2" max="2" width="18.28515625" bestFit="1" customWidth="1"/>
    <col min="3" max="3" width="12" bestFit="1" customWidth="1"/>
  </cols>
  <sheetData>
    <row r="1" spans="1:4" x14ac:dyDescent="0.25">
      <c r="A1" s="1" t="s">
        <v>0</v>
      </c>
      <c r="B1" s="1" t="s">
        <v>1</v>
      </c>
      <c r="C1" s="1" t="s">
        <v>2</v>
      </c>
      <c r="D1" s="1" t="s">
        <v>3</v>
      </c>
    </row>
    <row r="2" spans="1:4" x14ac:dyDescent="0.25">
      <c r="A2" t="s">
        <v>4</v>
      </c>
      <c r="B2" s="2">
        <v>45662</v>
      </c>
      <c r="C2" t="s">
        <v>24</v>
      </c>
      <c r="D2">
        <v>450</v>
      </c>
    </row>
    <row r="3" spans="1:4" x14ac:dyDescent="0.25">
      <c r="A3" t="s">
        <v>5</v>
      </c>
      <c r="B3" s="2">
        <v>45669</v>
      </c>
      <c r="C3" t="s">
        <v>25</v>
      </c>
      <c r="D3">
        <v>320</v>
      </c>
    </row>
    <row r="4" spans="1:4" x14ac:dyDescent="0.25">
      <c r="A4" t="s">
        <v>6</v>
      </c>
      <c r="B4" s="2">
        <v>45682</v>
      </c>
      <c r="C4" t="s">
        <v>26</v>
      </c>
      <c r="D4">
        <v>600</v>
      </c>
    </row>
    <row r="5" spans="1:4" x14ac:dyDescent="0.25">
      <c r="A5" t="s">
        <v>7</v>
      </c>
      <c r="B5" s="2">
        <v>45691</v>
      </c>
      <c r="C5" t="s">
        <v>24</v>
      </c>
      <c r="D5">
        <v>550</v>
      </c>
    </row>
    <row r="6" spans="1:4" x14ac:dyDescent="0.25">
      <c r="A6" t="s">
        <v>8</v>
      </c>
      <c r="B6" s="2">
        <v>45702</v>
      </c>
      <c r="C6" t="s">
        <v>25</v>
      </c>
      <c r="D6">
        <v>280</v>
      </c>
    </row>
    <row r="7" spans="1:4" x14ac:dyDescent="0.25">
      <c r="A7" t="s">
        <v>9</v>
      </c>
      <c r="B7" s="2">
        <v>45710</v>
      </c>
      <c r="C7" t="s">
        <v>26</v>
      </c>
      <c r="D7">
        <v>720</v>
      </c>
    </row>
    <row r="8" spans="1:4" x14ac:dyDescent="0.25">
      <c r="A8" t="s">
        <v>10</v>
      </c>
      <c r="B8" s="2">
        <v>45724</v>
      </c>
      <c r="C8" t="s">
        <v>24</v>
      </c>
      <c r="D8">
        <v>400</v>
      </c>
    </row>
    <row r="9" spans="1:4" x14ac:dyDescent="0.25">
      <c r="A9" t="s">
        <v>11</v>
      </c>
      <c r="B9" s="2">
        <v>45735</v>
      </c>
      <c r="C9" t="s">
        <v>25</v>
      </c>
      <c r="D9">
        <v>350</v>
      </c>
    </row>
    <row r="10" spans="1:4" x14ac:dyDescent="0.25">
      <c r="A10" t="s">
        <v>12</v>
      </c>
      <c r="B10" s="2">
        <v>45743</v>
      </c>
      <c r="C10" t="s">
        <v>26</v>
      </c>
      <c r="D10">
        <v>500</v>
      </c>
    </row>
    <row r="11" spans="1:4" x14ac:dyDescent="0.25">
      <c r="A11" t="s">
        <v>13</v>
      </c>
      <c r="B11" s="2">
        <v>45752</v>
      </c>
      <c r="C11" t="s">
        <v>24</v>
      </c>
      <c r="D11">
        <v>650</v>
      </c>
    </row>
    <row r="12" spans="1:4" x14ac:dyDescent="0.25">
      <c r="A12" t="s">
        <v>14</v>
      </c>
      <c r="B12" s="2">
        <v>45763</v>
      </c>
      <c r="C12" t="s">
        <v>25</v>
      </c>
      <c r="D12">
        <v>300</v>
      </c>
    </row>
    <row r="13" spans="1:4" x14ac:dyDescent="0.25">
      <c r="A13" t="s">
        <v>15</v>
      </c>
      <c r="B13" s="2">
        <v>45775</v>
      </c>
      <c r="C13" t="s">
        <v>26</v>
      </c>
      <c r="D13">
        <v>800</v>
      </c>
    </row>
    <row r="14" spans="1:4" x14ac:dyDescent="0.25">
      <c r="A14" t="s">
        <v>16</v>
      </c>
      <c r="B14" s="2">
        <v>45786</v>
      </c>
      <c r="C14" t="s">
        <v>24</v>
      </c>
      <c r="D14">
        <v>480</v>
      </c>
    </row>
    <row r="15" spans="1:4" x14ac:dyDescent="0.25">
      <c r="A15" t="s">
        <v>17</v>
      </c>
      <c r="B15" s="2">
        <v>45794</v>
      </c>
      <c r="C15" t="s">
        <v>25</v>
      </c>
      <c r="D15">
        <v>370</v>
      </c>
    </row>
    <row r="16" spans="1:4" x14ac:dyDescent="0.25">
      <c r="A16" t="s">
        <v>18</v>
      </c>
      <c r="B16" s="2">
        <v>45803</v>
      </c>
      <c r="C16" t="s">
        <v>26</v>
      </c>
      <c r="D16">
        <v>550</v>
      </c>
    </row>
    <row r="17" spans="1:4" x14ac:dyDescent="0.25">
      <c r="A17" t="s">
        <v>19</v>
      </c>
      <c r="B17" s="2">
        <v>45812</v>
      </c>
      <c r="C17" t="s">
        <v>24</v>
      </c>
      <c r="D17">
        <v>700</v>
      </c>
    </row>
    <row r="18" spans="1:4" x14ac:dyDescent="0.25">
      <c r="A18" t="s">
        <v>20</v>
      </c>
      <c r="B18" s="2">
        <v>45823</v>
      </c>
      <c r="C18" t="s">
        <v>25</v>
      </c>
      <c r="D18">
        <v>420</v>
      </c>
    </row>
    <row r="19" spans="1:4" x14ac:dyDescent="0.25">
      <c r="A19" t="s">
        <v>21</v>
      </c>
      <c r="B19" s="2">
        <v>45832</v>
      </c>
      <c r="C19" t="s">
        <v>26</v>
      </c>
      <c r="D19">
        <v>620</v>
      </c>
    </row>
    <row r="20" spans="1:4" x14ac:dyDescent="0.25">
      <c r="A20" t="s">
        <v>22</v>
      </c>
      <c r="B20" s="2">
        <v>45845</v>
      </c>
      <c r="C20" t="s">
        <v>24</v>
      </c>
      <c r="D20">
        <v>530</v>
      </c>
    </row>
    <row r="21" spans="1:4" x14ac:dyDescent="0.25">
      <c r="A21" t="s">
        <v>23</v>
      </c>
      <c r="B21" s="2">
        <v>45859</v>
      </c>
      <c r="C21" t="s">
        <v>25</v>
      </c>
      <c r="D21">
        <v>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Sheet5</vt:lpstr>
      <vt:lpstr>Sheet3</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NUPUR</dc:creator>
  <cp:lastModifiedBy>NUPUR</cp:lastModifiedBy>
  <dcterms:created xsi:type="dcterms:W3CDTF">2026-10-01T17:57:42Z</dcterms:created>
  <dcterms:modified xsi:type="dcterms:W3CDTF">2026-10-01T19:25:58Z</dcterms:modified>
</cp:coreProperties>
</file>